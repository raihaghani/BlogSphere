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b2eeb181c34c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budget" sheetId="1" r:id="R444c8318bbe94259"/>
    <x:sheet xmlns:r="http://schemas.openxmlformats.org/officeDocument/2006/relationships" name="Workload" sheetId="2" r:id="R10a44725649d40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$&quot;#,##0.00"/>
    <x:numFmt numFmtId="201" formatCode="#,##0"/>
    <x:numFmt numFmtId="202" formatCode="0%"/>
    <x:numFmt numFmtId="203" formatCode="0.0000"/>
  </x:numFmts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6"/>
      <x:name val="Arial"/>
    </x:font>
    <x:font>
      <x:b/>
      <x:sz val="16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12E81"/>
      </x:patternFill>
    </x:fill>
    <x:fill>
      <x:patternFill patternType="solid">
        <x:fgColor rgb="FFFEF3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0"/>
    </x:xf>
    <x:xf numFmtId="202" fontId="2" fillId="3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302722aee241ed" /><Relationship Type="http://schemas.openxmlformats.org/officeDocument/2006/relationships/theme" Target="/xl/theme/theme1.xml" Id="Rabcaf6d2a97a4394" /><Relationship Type="http://schemas.openxmlformats.org/officeDocument/2006/relationships/sharedStrings" Target="/xl/sharedStrings.xml" Id="Rc5e6e2b0adf24769" /><Relationship Type="http://schemas.openxmlformats.org/officeDocument/2006/relationships/worksheet" Target="/xl/worksheets/sheet1.xml" Id="R444c8318bbe94259" /><Relationship Type="http://schemas.openxmlformats.org/officeDocument/2006/relationships/worksheet" Target="/xl/worksheets/sheet2.xml" Id="R10a44725649d40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6" hidden="0" customWidth="1"/>
    <x:col min="8" max="8" width="16" hidden="0" customWidth="1"/>
    <x:col min="9" max="9" width="15" hidden="0" customWidth="1"/>
    <x:col min="10" max="10" width="21" hidden="0" customWidth="1"/>
    <x:col min="11" max="11" width="17" hidden="0" customWidth="1"/>
    <x:col min="12" max="12" width="20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7" customHeight="1">
      <x:c r="A2" s="7" t="str">
        <x:v>BlogSphere deployment budgets (USD/month)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 ht="27" customHeight="1">
      <x:c r="A3" s="8" t="str">
        <x:v>Illustrative estimates only. Replace amber inputs with verified regional quotes; no vendor quotation is implied.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30" customHeight="1">
      <x:c r="A5" s="11" t="str">
        <x:v>Approach</x:v>
      </x:c>
      <x:c r="B5" s="11" t="str">
        <x:v>Users</x:v>
      </x:c>
      <x:c r="C5" s="11" t="str">
        <x:v>Compute</x:v>
      </x:c>
      <x:c r="D5" s="11" t="str">
        <x:v>Database</x:v>
      </x:c>
      <x:c r="E5" s="11" t="str">
        <x:v>Storage</x:v>
      </x:c>
      <x:c r="F5" s="11" t="str">
        <x:v>Backups</x:v>
      </x:c>
      <x:c r="G5" s="11" t="str">
        <x:v>Bandwidth</x:v>
      </x:c>
      <x:c r="H5" s="11" t="str">
        <x:v>Monitoring</x:v>
      </x:c>
      <x:c r="I5" s="11" t="str">
        <x:v>Domain</x:v>
      </x:c>
      <x:c r="J5" s="11" t="str">
        <x:v>Maintenance hours</x:v>
      </x:c>
      <x:c r="K5" s="11" t="str">
        <x:v>Labor cost</x:v>
      </x:c>
      <x:c r="L5" s="11" t="str">
        <x:v>Total incl. labor</x:v>
      </x:c>
    </x:row>
    <x:row r="6" ht="30" customHeight="1">
      <x:c r="A6" s="4" t="str">
        <x:v>VPS</x:v>
      </x:c>
      <x:c r="B6" s="15" t="n">
        <x:v>100</x:v>
      </x:c>
      <x:c r="C6" s="13" t="n">
        <x:v>12</x:v>
      </x:c>
      <x:c r="D6" s="13" t="n">
        <x:v>25</x:v>
      </x:c>
      <x:c r="E6" s="13" t="n">
        <x:v>0</x:v>
      </x:c>
      <x:c r="F6" s="13" t="n">
        <x:v>5</x:v>
      </x:c>
      <x:c r="G6" s="13" t="n">
        <x:v>0</x:v>
      </x:c>
      <x:c r="H6" s="13" t="n">
        <x:v>2</x:v>
      </x:c>
      <x:c r="I6" s="13" t="n">
        <x:v>1.25</x:v>
      </x:c>
      <x:c r="J6" s="12" t="n">
        <x:v>2</x:v>
      </x:c>
      <x:c r="K6" s="14" t="n">
        <x:f>J6*Workload!B14</x:f>
        <x:v>80</x:v>
      </x:c>
      <x:c r="L6" s="14" t="n">
        <x:f>SUM(C6:I6,K6)</x:f>
        <x:v>125.25</x:v>
      </x:c>
    </x:row>
    <x:row r="7" ht="30" customHeight="1">
      <x:c r="A7" s="4" t="str">
        <x:v>VPS</x:v>
      </x:c>
      <x:c r="B7" s="15" t="n">
        <x:v>1000</x:v>
      </x:c>
      <x:c r="C7" s="13" t="n">
        <x:v>24</x:v>
      </x:c>
      <x:c r="D7" s="13" t="n">
        <x:v>25</x:v>
      </x:c>
      <x:c r="E7" s="13" t="n">
        <x:v>2</x:v>
      </x:c>
      <x:c r="F7" s="13" t="n">
        <x:v>10</x:v>
      </x:c>
      <x:c r="G7" s="13" t="n">
        <x:v>0</x:v>
      </x:c>
      <x:c r="H7" s="13" t="n">
        <x:v>5</x:v>
      </x:c>
      <x:c r="I7" s="13" t="n">
        <x:v>1.25</x:v>
      </x:c>
      <x:c r="J7" s="12" t="n">
        <x:v>3</x:v>
      </x:c>
      <x:c r="K7" s="14" t="n">
        <x:f>J7*Workload!B14</x:f>
        <x:v>120</x:v>
      </x:c>
      <x:c r="L7" s="14" t="n">
        <x:f>SUM(C7:I7,K7)</x:f>
        <x:v>187.25</x:v>
      </x:c>
    </x:row>
    <x:row r="8" ht="30" customHeight="1">
      <x:c r="A8" s="4" t="str">
        <x:v>VPS</x:v>
      </x:c>
      <x:c r="B8" s="15" t="n">
        <x:v>10000</x:v>
      </x:c>
      <x:c r="C8" s="13" t="n">
        <x:v>80</x:v>
      </x:c>
      <x:c r="D8" s="13" t="n">
        <x:v>75</x:v>
      </x:c>
      <x:c r="E8" s="13" t="n">
        <x:v>5</x:v>
      </x:c>
      <x:c r="F8" s="13" t="n">
        <x:v>25</x:v>
      </x:c>
      <x:c r="G8" s="13" t="n">
        <x:v>10</x:v>
      </x:c>
      <x:c r="H8" s="13" t="n">
        <x:v>18</x:v>
      </x:c>
      <x:c r="I8" s="13" t="n">
        <x:v>1.25</x:v>
      </x:c>
      <x:c r="J8" s="12" t="n">
        <x:v>5.5</x:v>
      </x:c>
      <x:c r="K8" s="14" t="n">
        <x:f>J8*Workload!B14</x:f>
        <x:v>220</x:v>
      </x:c>
      <x:c r="L8" s="14" t="n">
        <x:f>SUM(C8:I8,K8)</x:f>
        <x:v>434.25</x:v>
      </x:c>
    </x:row>
    <x:row r="9" ht="30" customHeight="1">
      <x:c r="A9" s="4" t="str">
        <x:v>VPS</x:v>
      </x:c>
      <x:c r="B9" s="15" t="n">
        <x:v>1000000</x:v>
      </x:c>
      <x:c r="C9" s="13" t="n">
        <x:v>800</x:v>
      </x:c>
      <x:c r="D9" s="13" t="n">
        <x:v>750</x:v>
      </x:c>
      <x:c r="E9" s="13" t="n">
        <x:v>50</x:v>
      </x:c>
      <x:c r="F9" s="13" t="n">
        <x:v>150</x:v>
      </x:c>
      <x:c r="G9" s="13" t="n">
        <x:v>750</x:v>
      </x:c>
      <x:c r="H9" s="13" t="n">
        <x:v>125</x:v>
      </x:c>
      <x:c r="I9" s="13" t="n">
        <x:v>1.25</x:v>
      </x:c>
      <x:c r="J9" s="12" t="n">
        <x:v>32</x:v>
      </x:c>
      <x:c r="K9" s="14" t="n">
        <x:f>J9*Workload!B14</x:f>
        <x:v>1280</x:v>
      </x:c>
      <x:c r="L9" s="14" t="n">
        <x:f>SUM(C9:I9,K9)</x:f>
        <x:v>3906.25</x:v>
      </x:c>
    </x:row>
    <x:row r="10" ht="30" customHeight="1">
      <x:c r="A10" s="4" t="str">
        <x:v>AWS</x:v>
      </x:c>
      <x:c r="B10" s="15" t="n">
        <x:v>100</x:v>
      </x:c>
      <x:c r="C10" s="13" t="n">
        <x:v>12</x:v>
      </x:c>
      <x:c r="D10" s="13" t="n">
        <x:v>25</x:v>
      </x:c>
      <x:c r="E10" s="13" t="n">
        <x:v>0</x:v>
      </x:c>
      <x:c r="F10" s="13" t="n">
        <x:v>5</x:v>
      </x:c>
      <x:c r="G10" s="13" t="n">
        <x:v>0</x:v>
      </x:c>
      <x:c r="H10" s="13" t="n">
        <x:v>2</x:v>
      </x:c>
      <x:c r="I10" s="13" t="n">
        <x:v>1.25</x:v>
      </x:c>
      <x:c r="J10" s="12" t="n">
        <x:v>3</x:v>
      </x:c>
      <x:c r="K10" s="14" t="n">
        <x:f>J10*Workload!B14</x:f>
        <x:v>120</x:v>
      </x:c>
      <x:c r="L10" s="14" t="n">
        <x:f>SUM(C10:I10,K10)</x:f>
        <x:v>165.25</x:v>
      </x:c>
    </x:row>
    <x:row r="11" ht="30" customHeight="1">
      <x:c r="A11" s="4" t="str">
        <x:v>AWS</x:v>
      </x:c>
      <x:c r="B11" s="15" t="n">
        <x:v>1000</x:v>
      </x:c>
      <x:c r="C11" s="13" t="n">
        <x:v>32</x:v>
      </x:c>
      <x:c r="D11" s="13" t="n">
        <x:v>25</x:v>
      </x:c>
      <x:c r="E11" s="13" t="n">
        <x:v>5</x:v>
      </x:c>
      <x:c r="F11" s="13" t="n">
        <x:v>12</x:v>
      </x:c>
      <x:c r="G11" s="13" t="n">
        <x:v>12</x:v>
      </x:c>
      <x:c r="H11" s="13" t="n">
        <x:v>10</x:v>
      </x:c>
      <x:c r="I11" s="13" t="n">
        <x:v>1.25</x:v>
      </x:c>
      <x:c r="J11" s="12" t="n">
        <x:v>4</x:v>
      </x:c>
      <x:c r="K11" s="14" t="n">
        <x:f>J11*Workload!B14</x:f>
        <x:v>160</x:v>
      </x:c>
      <x:c r="L11" s="14" t="n">
        <x:f>SUM(C11:I11,K11)</x:f>
        <x:v>257.25</x:v>
      </x:c>
    </x:row>
    <x:row r="12" ht="30" customHeight="1">
      <x:c r="A12" s="4" t="str">
        <x:v>AWS</x:v>
      </x:c>
      <x:c r="B12" s="15" t="n">
        <x:v>10000</x:v>
      </x:c>
      <x:c r="C12" s="13" t="n">
        <x:v>160</x:v>
      </x:c>
      <x:c r="D12" s="13" t="n">
        <x:v>75</x:v>
      </x:c>
      <x:c r="E12" s="13" t="n">
        <x:v>12</x:v>
      </x:c>
      <x:c r="F12" s="13" t="n">
        <x:v>35</x:v>
      </x:c>
      <x:c r="G12" s="13" t="n">
        <x:v>40</x:v>
      </x:c>
      <x:c r="H12" s="13" t="n">
        <x:v>61</x:v>
      </x:c>
      <x:c r="I12" s="13" t="n">
        <x:v>1.25</x:v>
      </x:c>
      <x:c r="J12" s="12" t="n">
        <x:v>8</x:v>
      </x:c>
      <x:c r="K12" s="14" t="n">
        <x:f>J12*Workload!B14</x:f>
        <x:v>320</x:v>
      </x:c>
      <x:c r="L12" s="14" t="n">
        <x:f>SUM(C12:I12,K12)</x:f>
        <x:v>704.25</x:v>
      </x:c>
    </x:row>
    <x:row r="13" ht="30" customHeight="1">
      <x:c r="A13" s="4" t="str">
        <x:v>AWS</x:v>
      </x:c>
      <x:c r="B13" s="15" t="n">
        <x:v>1000000</x:v>
      </x:c>
      <x:c r="C13" s="13" t="n">
        <x:v>1600</x:v>
      </x:c>
      <x:c r="D13" s="13" t="n">
        <x:v>1000</x:v>
      </x:c>
      <x:c r="E13" s="13" t="n">
        <x:v>100</x:v>
      </x:c>
      <x:c r="F13" s="13" t="n">
        <x:v>250</x:v>
      </x:c>
      <x:c r="G13" s="13" t="n">
        <x:v>1800</x:v>
      </x:c>
      <x:c r="H13" s="13" t="n">
        <x:v>195</x:v>
      </x:c>
      <x:c r="I13" s="13" t="n">
        <x:v>1.25</x:v>
      </x:c>
      <x:c r="J13" s="12" t="n">
        <x:v>48</x:v>
      </x:c>
      <x:c r="K13" s="14" t="n">
        <x:f>J13*Workload!B14</x:f>
        <x:v>1920</x:v>
      </x:c>
      <x:c r="L13" s="14" t="n">
        <x:f>SUM(C13:I13,K13)</x:f>
        <x:v>6866.25</x:v>
      </x:c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</x:row>
    <x:row r="16" ht="40" customHeight="1">
      <x:c r="A16" s="8" t="str">
        <x:v>Sources (verify quotes)</x:v>
      </x:c>
      <x:c r="B16" s="8" t="str">
        <x:v>Reference</x:v>
      </x:c>
      <x:c r="C16" s="4"/>
      <x:c r="D16" s="4"/>
      <x:c r="E16" s="4"/>
      <x:c r="F16" s="4"/>
      <x:c r="G16" s="4"/>
      <x:c r="H16" s="4"/>
      <x:c r="I16" s="4"/>
      <x:c r="J16" s="4"/>
      <x:c r="K16" s="4"/>
      <x:c r="L16" s="4"/>
    </x:row>
    <x:row r="17" ht="40" customHeight="1">
      <x:c r="A17" s="8" t="str">
        <x:v>VPS pricing</x:v>
      </x:c>
      <x:c r="B17" s="8" t="str">
        <x:v>https://www.digitalocean.com/pricing/droplets</x:v>
      </x:c>
      <x:c r="C17" s="4"/>
      <x:c r="D17" s="4"/>
      <x:c r="E17" s="4"/>
      <x:c r="F17" s="4"/>
      <x:c r="G17" s="4"/>
      <x:c r="H17" s="4"/>
      <x:c r="I17" s="4"/>
      <x:c r="J17" s="4"/>
      <x:c r="K17" s="4"/>
      <x:c r="L17" s="4"/>
    </x:row>
    <x:row r="18" ht="40" customHeight="1">
      <x:c r="A18" s="8" t="str">
        <x:v>AWS pricing</x:v>
      </x:c>
      <x:c r="B18" s="8" t="str">
        <x:v>https://aws.amazon.com/lightsail/pricing/</x:v>
      </x:c>
      <x:c r="C18" s="4"/>
      <x:c r="D18" s="4"/>
      <x:c r="E18" s="4"/>
      <x:c r="F18" s="4"/>
      <x:c r="G18" s="4"/>
      <x:c r="H18" s="4"/>
      <x:c r="I18" s="4"/>
      <x:c r="J18" s="4"/>
      <x:c r="K18" s="4"/>
      <x:c r="L18" s="4"/>
    </x:row>
    <x:row r="19" ht="40" customHeight="1">
      <x:c r="A19" s="8" t="str">
        <x:v>Supabase pricing</x:v>
      </x:c>
      <x:c r="B19" s="8" t="str">
        <x:v>https://supabase.com/pricing</x:v>
      </x:c>
      <x:c r="C19" s="4"/>
      <x:c r="D19" s="4"/>
      <x:c r="E19" s="4"/>
      <x:c r="F19" s="4"/>
      <x:c r="G19" s="4"/>
      <x:c r="H19" s="4"/>
      <x:c r="I19" s="4"/>
      <x:c r="J19" s="4"/>
      <x:c r="K19" s="4"/>
      <x:c r="L19" s="4"/>
    </x:row>
    <x:row r="20" ht="40" customHeight="1">
      <x:c r="A20" s="8" t="str">
        <x:v>AWS calculator</x:v>
      </x:c>
      <x:c r="B20" s="8" t="str">
        <x:v>https://calculator.aws/</x:v>
      </x:c>
      <x:c r="C20" s="4"/>
      <x:c r="D20" s="4"/>
      <x:c r="E20" s="4"/>
      <x:c r="F20" s="4"/>
      <x:c r="G20" s="4"/>
      <x:c r="H20" s="4"/>
      <x:c r="I20" s="4"/>
      <x:c r="J20" s="4"/>
      <x:c r="K20" s="4"/>
      <x:c r="L20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42" hidden="0" customWidth="1"/>
    <x:col min="3" max="3" width="25" hidden="0" customWidth="1"/>
    <x:col min="4" max="4" width="25" hidden="0" customWidth="1"/>
    <x:col min="5" max="5" width="28" hidden="0" customWidth="1"/>
  </x:cols>
  <x:sheetData>
    <x:row r="1">
      <x:c r="A1" s="4"/>
      <x:c r="B1" s="4"/>
      <x:c r="C1" s="4"/>
      <x:c r="D1" s="4"/>
      <x:c r="E1" s="4"/>
    </x:row>
    <x:row r="2" ht="27" customHeight="1">
      <x:c r="A2" s="7" t="str">
        <x:v>Workload assumptions and capacity</x:v>
      </x:c>
      <x:c r="B2" s="8"/>
      <x:c r="C2" s="8"/>
      <x:c r="D2" s="8"/>
      <x:c r="E2" s="8"/>
      <x:c r="F2" s="16"/>
      <x:c r="G2" s="16"/>
      <x:c r="H2" s="16"/>
      <x:c r="I2" s="16"/>
      <x:c r="J2" s="16"/>
      <x:c r="K2" s="16"/>
      <x:c r="L2" s="16"/>
    </x:row>
    <x:row r="3" ht="27" customHeight="1">
      <x:c r="A3" s="8" t="str">
        <x:v>Planning assumptions, not measured traffic. Decimal KB/GB; 30-day month.</x:v>
      </x:c>
      <x:c r="B3" s="8"/>
      <x:c r="C3" s="8"/>
      <x:c r="D3" s="8"/>
      <x:c r="E3" s="8"/>
      <x:c r="F3" s="16"/>
      <x:c r="G3" s="16"/>
      <x:c r="H3" s="16"/>
      <x:c r="I3" s="16"/>
      <x:c r="J3" s="16"/>
      <x:c r="K3" s="16"/>
      <x:c r="L3" s="16"/>
    </x:row>
    <x:row r="4">
      <x:c r="A4" s="4"/>
      <x:c r="B4" s="4"/>
      <x:c r="C4" s="4"/>
      <x:c r="D4" s="4"/>
      <x:c r="E4" s="4"/>
    </x:row>
    <x:row r="5" ht="30" customHeight="1">
      <x:c r="A5" s="11" t="str">
        <x:v>Driver</x:v>
      </x:c>
      <x:c r="B5" s="11" t="str">
        <x:v>Value</x:v>
      </x:c>
      <x:c r="C5" s="4"/>
      <x:c r="D5" s="4"/>
      <x:c r="E5" s="4"/>
    </x:row>
    <x:row r="6">
      <x:c r="A6" s="4" t="str">
        <x:v>Daily active share</x:v>
      </x:c>
      <x:c r="B6" s="17" t="n">
        <x:v>0.2</x:v>
      </x:c>
      <x:c r="C6" s="4"/>
      <x:c r="D6" s="4"/>
      <x:c r="E6" s="4"/>
    </x:row>
    <x:row r="7">
      <x:c r="A7" s="4" t="str">
        <x:v>Requests / active user / day</x:v>
      </x:c>
      <x:c r="B7" s="12" t="n">
        <x:v>20</x:v>
      </x:c>
      <x:c r="C7" s="4"/>
      <x:c r="D7" s="4"/>
      <x:c r="E7" s="4"/>
    </x:row>
    <x:row r="8">
      <x:c r="A8" s="4" t="str">
        <x:v>Response KB</x:v>
      </x:c>
      <x:c r="B8" s="12" t="n">
        <x:v>100</x:v>
      </x:c>
      <x:c r="C8" s="4"/>
      <x:c r="D8" s="4"/>
      <x:c r="E8" s="4"/>
    </x:row>
    <x:row r="9">
      <x:c r="A9" s="4" t="str">
        <x:v>Days / month</x:v>
      </x:c>
      <x:c r="B9" s="12" t="n">
        <x:v>30</x:v>
      </x:c>
      <x:c r="C9" s="4"/>
      <x:c r="D9" s="4"/>
      <x:c r="E9" s="4"/>
    </x:row>
    <x:row r="10">
      <x:c r="A10" s="4" t="str">
        <x:v>Peak multiplier</x:v>
      </x:c>
      <x:c r="B10" s="12" t="n">
        <x:v>10</x:v>
      </x:c>
      <x:c r="C10" s="4"/>
      <x:c r="D10" s="4"/>
      <x:c r="E10" s="4"/>
    </x:row>
    <x:row r="11">
      <x:c r="A11" s="4" t="str">
        <x:v>Monthly articles / registered user</x:v>
      </x:c>
      <x:c r="B11" s="12" t="n">
        <x:v>0.02</x:v>
      </x:c>
      <x:c r="C11" s="4"/>
      <x:c r="D11" s="4"/>
      <x:c r="E11" s="4"/>
    </x:row>
    <x:row r="12">
      <x:c r="A12" s="4" t="str">
        <x:v>KB per article incl. comments</x:v>
      </x:c>
      <x:c r="B12" s="12" t="n">
        <x:v>50</x:v>
      </x:c>
      <x:c r="C12" s="4"/>
      <x:c r="D12" s="4"/>
      <x:c r="E12" s="4"/>
    </x:row>
    <x:row r="13">
      <x:c r="A13" s="4" t="str">
        <x:v>DB overhead multiplier</x:v>
      </x:c>
      <x:c r="B13" s="12" t="n">
        <x:v>3</x:v>
      </x:c>
      <x:c r="C13" s="4"/>
      <x:c r="D13" s="4"/>
      <x:c r="E13" s="4"/>
    </x:row>
    <x:row r="14">
      <x:c r="A14" s="4" t="str">
        <x:v>Labor USD/hour (hypothetical)</x:v>
      </x:c>
      <x:c r="B14" s="12" t="n">
        <x:v>40</x:v>
      </x:c>
      <x:c r="C14" s="4"/>
      <x:c r="D14" s="4"/>
      <x:c r="E14" s="4"/>
    </x:row>
    <x:row r="15">
      <x:c r="A15" s="4"/>
      <x:c r="B15" s="4"/>
      <x:c r="C15" s="4"/>
      <x:c r="D15" s="4"/>
      <x:c r="E15" s="4"/>
    </x:row>
    <x:row r="16">
      <x:c r="A16" s="4"/>
      <x:c r="B16" s="4"/>
      <x:c r="C16" s="4"/>
      <x:c r="D16" s="4"/>
      <x:c r="E16" s="4"/>
    </x:row>
    <x:row r="17" ht="30" customHeight="1">
      <x:c r="A17" s="11" t="str">
        <x:v>Users</x:v>
      </x:c>
      <x:c r="B17" s="11" t="str">
        <x:v>Monthly requests</x:v>
      </x:c>
      <x:c r="C17" s="11" t="str">
        <x:v>Transfer GB/month</x:v>
      </x:c>
      <x:c r="D17" s="11" t="str">
        <x:v>Peak requests/sec</x:v>
      </x:c>
      <x:c r="E17" s="11" t="str">
        <x:v>DB growth GB/month</x:v>
      </x:c>
    </x:row>
    <x:row r="18">
      <x:c r="A18" s="15" t="n">
        <x:v>100</x:v>
      </x:c>
      <x:c r="B18" s="15" t="n">
        <x:f>A18*$B$6*$B$7*$B$9</x:f>
        <x:v>12000</x:v>
      </x:c>
      <x:c r="C18" s="18" t="n">
        <x:f>B18*$B$8/1000000</x:f>
        <x:v>1.2</x:v>
      </x:c>
      <x:c r="D18" s="18" t="n">
        <x:f>B18/($B$9*86400)*$B$10</x:f>
        <x:v>0.046296296296296294</x:v>
      </x:c>
      <x:c r="E18" s="18" t="n">
        <x:f>A18*$B$11*$B$12*$B$13/1000000</x:f>
        <x:v>0.0003</x:v>
      </x:c>
    </x:row>
    <x:row r="19">
      <x:c r="A19" s="15" t="n">
        <x:v>1000</x:v>
      </x:c>
      <x:c r="B19" s="15" t="n">
        <x:f>A19*$B$6*$B$7*$B$9</x:f>
        <x:v>120000</x:v>
      </x:c>
      <x:c r="C19" s="18" t="n">
        <x:f>B19*$B$8/1000000</x:f>
        <x:v>12</x:v>
      </x:c>
      <x:c r="D19" s="18" t="n">
        <x:f>B19/($B$9*86400)*$B$10</x:f>
        <x:v>0.4629629629629629</x:v>
      </x:c>
      <x:c r="E19" s="18" t="n">
        <x:f>A19*$B$11*$B$12*$B$13/1000000</x:f>
        <x:v>0.003</x:v>
      </x:c>
    </x:row>
    <x:row r="20">
      <x:c r="A20" s="15" t="n">
        <x:v>10000</x:v>
      </x:c>
      <x:c r="B20" s="15" t="n">
        <x:f>A20*$B$6*$B$7*$B$9</x:f>
        <x:v>1200000</x:v>
      </x:c>
      <x:c r="C20" s="18" t="n">
        <x:f>B20*$B$8/1000000</x:f>
        <x:v>120</x:v>
      </x:c>
      <x:c r="D20" s="18" t="n">
        <x:f>B20/($B$9*86400)*$B$10</x:f>
        <x:v>4.62962962962963</x:v>
      </x:c>
      <x:c r="E20" s="18" t="n">
        <x:f>A20*$B$11*$B$12*$B$13/1000000</x:f>
        <x:v>0.03</x:v>
      </x:c>
    </x:row>
    <x:row r="21">
      <x:c r="A21" s="15" t="n">
        <x:v>1000000</x:v>
      </x:c>
      <x:c r="B21" s="15" t="n">
        <x:f>A21*$B$6*$B$7*$B$9</x:f>
        <x:v>120000000</x:v>
      </x:c>
      <x:c r="C21" s="18" t="n">
        <x:f>B21*$B$8/1000000</x:f>
        <x:v>12000</x:v>
      </x:c>
      <x:c r="D21" s="18" t="n">
        <x:f>B21/($B$9*86400)*$B$10</x:f>
        <x:v>462.962962962963</x:v>
      </x:c>
      <x:c r="E21" s="18" t="n">
        <x:f>A21*$B$11*$B$12*$B$13/1000000</x:f>
        <x:v>3</x:v>
      </x:c>
    </x:row>
    <x:row r="22">
      <x:c r="A22" s="4"/>
      <x:c r="B22" s="4"/>
      <x:c r="C22" s="4"/>
      <x:c r="D22" s="4"/>
      <x:c r="E22" s="4"/>
    </x:row>
    <x:row r="23">
      <x:c r="A23" s="4"/>
      <x:c r="B23" s="4"/>
      <x:c r="C23" s="4"/>
      <x:c r="D23" s="4"/>
      <x:c r="E23" s="4"/>
    </x:row>
    <x:row r="24" ht="30" customHeight="1">
      <x:c r="A24" s="11" t="str">
        <x:v>Users</x:v>
      </x:c>
      <x:c r="B24" s="11" t="str">
        <x:v>Capacity approach (requires load testing)</x:v>
      </x:c>
      <x:c r="C24" s="4"/>
      <x:c r="D24" s="4"/>
      <x:c r="E24" s="4"/>
    </x:row>
    <x:row r="25" ht="70" customHeight="1">
      <x:c r="A25" s="4" t="n">
        <x:v>100</x:v>
      </x:c>
      <x:c r="B25" s="4" t="str">
        <x:v>One small app instance; Supabase PostgreSQL; daily backups.</x:v>
      </x:c>
      <x:c r="C25" s="4"/>
      <x:c r="D25" s="4"/>
      <x:c r="E25" s="4"/>
    </x:row>
    <x:row r="26" ht="70" customHeight="1">
      <x:c r="A26" s="4" t="n">
        <x:v>1000</x:v>
      </x:c>
      <x:c r="B26" s="4" t="str">
        <x:v>Monitor memory/queries; modest instance upgrade if measured demand requires.</x:v>
      </x:c>
      <x:c r="C26" s="4"/>
      <x:c r="D26" s="4"/>
      <x:c r="E26" s="4"/>
    </x:row>
    <x:row r="27" ht="70" customHeight="1">
      <x:c r="A27" s="4" t="n">
        <x:v>10000</x:v>
      </x:c>
      <x:c r="B27" s="4" t="str">
        <x:v>Larger or two app nodes; connection budget; database/search tuning.</x:v>
      </x:c>
      <x:c r="C27" s="4"/>
      <x:c r="D27" s="4"/>
      <x:c r="E27" s="4"/>
    </x:row>
    <x:row r="28" ht="70" customHeight="1">
      <x:c r="A28" s="4" t="n">
        <x:v>1000000</x:v>
      </x:c>
      <x:c r="B28" s="4" t="str">
        <x:v>Multiple app nodes + load balancer; static CDN; larger DB/replicas; tested failover.</x:v>
      </x:c>
      <x:c r="C28" s="4"/>
      <x:c r="D28" s="4"/>
      <x:c r="E28" s="4"/>
    </x:row>
  </x:sheetData>
  <x:pageMargins left="0.7" right="0.7" top="0.75" bottom="0.75" header="0.3" footer="0.3"/>
</x:worksheet>
</file>